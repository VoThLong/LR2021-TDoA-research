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LR2021\EVK\LR2021_e788v01a_868-915_Evaluation_Module\"/>
    </mc:Choice>
  </mc:AlternateContent>
  <xr:revisionPtr revIDLastSave="0" documentId="13_ncr:1_{4C77211D-6E43-4E97-B4EF-B24983F6B3AA}" xr6:coauthVersionLast="47" xr6:coauthVersionMax="47" xr10:uidLastSave="{00000000-0000-0000-0000-000000000000}"/>
  <bookViews>
    <workbookView xWindow="38280" yWindow="-120" windowWidth="38640" windowHeight="21120" tabRatio="221" xr2:uid="{00000000-000D-0000-FFFF-FFFF00000000}"/>
  </bookViews>
  <sheets>
    <sheet name="LR2021 868-915 Eval Module BOM" sheetId="1" r:id="rId1"/>
    <sheet name="Release" sheetId="2" r:id="rId2"/>
  </sheets>
  <definedNames>
    <definedName name="_xlnm.Print_Area" localSheetId="0">'LR2021 868-915 Eval Module BOM'!$A$1:$H$88</definedName>
    <definedName name="_xlnm.Print_Area" localSheetId="1">Release!$A$1:$H$21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4" i="2"/>
  <c r="D4" i="2"/>
  <c r="F4" i="2"/>
  <c r="H3" i="2"/>
  <c r="H4" i="2"/>
  <c r="H2" i="2"/>
</calcChain>
</file>

<file path=xl/sharedStrings.xml><?xml version="1.0" encoding="utf-8"?>
<sst xmlns="http://schemas.openxmlformats.org/spreadsheetml/2006/main" count="448" uniqueCount="291">
  <si>
    <t>RefDes</t>
  </si>
  <si>
    <t>Value</t>
  </si>
  <si>
    <t>Description</t>
  </si>
  <si>
    <t>Manufacturer</t>
  </si>
  <si>
    <t>Qty</t>
  </si>
  <si>
    <t>MPN</t>
  </si>
  <si>
    <t xml:space="preserve">Version </t>
  </si>
  <si>
    <t>Change notes</t>
  </si>
  <si>
    <t>By</t>
  </si>
  <si>
    <t>Geom</t>
  </si>
  <si>
    <t>Capacitors</t>
  </si>
  <si>
    <t>Resistors</t>
  </si>
  <si>
    <t>Inductors &amp; Ferrites</t>
  </si>
  <si>
    <t>Connectors and others (or P/N equivalent)</t>
  </si>
  <si>
    <t>-</t>
  </si>
  <si>
    <t>0402</t>
  </si>
  <si>
    <t>Murata</t>
  </si>
  <si>
    <t>Vishay/Dale</t>
  </si>
  <si>
    <t>100nF</t>
  </si>
  <si>
    <t>Multilayer ceramic capacitors X7R ±10%, 16V</t>
  </si>
  <si>
    <t>U1</t>
  </si>
  <si>
    <t>R3</t>
  </si>
  <si>
    <t>C2</t>
  </si>
  <si>
    <t>C4</t>
  </si>
  <si>
    <t>L1</t>
  </si>
  <si>
    <t>C13</t>
  </si>
  <si>
    <t>C14</t>
  </si>
  <si>
    <t>C15</t>
  </si>
  <si>
    <t>Q1</t>
  </si>
  <si>
    <t>Semtech</t>
  </si>
  <si>
    <t>C20</t>
  </si>
  <si>
    <t>L4</t>
  </si>
  <si>
    <t>L7</t>
  </si>
  <si>
    <t>Rakon</t>
  </si>
  <si>
    <t>1nF</t>
  </si>
  <si>
    <t>32.000MHz</t>
  </si>
  <si>
    <t>L8</t>
  </si>
  <si>
    <t>C10</t>
  </si>
  <si>
    <t>QFN32L 5x5mm</t>
  </si>
  <si>
    <t>C19</t>
  </si>
  <si>
    <t>C28</t>
  </si>
  <si>
    <t>L9</t>
  </si>
  <si>
    <t>L10</t>
  </si>
  <si>
    <t>L11</t>
  </si>
  <si>
    <t>L14</t>
  </si>
  <si>
    <t>L15</t>
  </si>
  <si>
    <t>0201</t>
  </si>
  <si>
    <t>NC</t>
  </si>
  <si>
    <t>GRM033R71C102KA01D</t>
  </si>
  <si>
    <t>Shield</t>
  </si>
  <si>
    <t>Remark: components not listed in the BOM or 0 quantity, are not populated on the module.</t>
  </si>
  <si>
    <t>BOM # V1a</t>
  </si>
  <si>
    <t>Release history</t>
  </si>
  <si>
    <t>LR2021IMLTRT</t>
  </si>
  <si>
    <t>LR2021</t>
  </si>
  <si>
    <t>Crystal or TCXO</t>
  </si>
  <si>
    <t>R4_N</t>
  </si>
  <si>
    <t>ERT-JZER104F</t>
  </si>
  <si>
    <t xml:space="preserve">ERTJ Series Multilayer NTC Thermistor </t>
  </si>
  <si>
    <t>Panasonic</t>
  </si>
  <si>
    <t>100k (nominal)</t>
  </si>
  <si>
    <t>2.2uF</t>
  </si>
  <si>
    <t>GRM155D80J225KE95D</t>
  </si>
  <si>
    <t>Multilayer ceramic capacitors X6T ±10%, 6.3V</t>
  </si>
  <si>
    <t>L2</t>
  </si>
  <si>
    <t>L3</t>
  </si>
  <si>
    <t>L5</t>
  </si>
  <si>
    <t>L6</t>
  </si>
  <si>
    <t>GRM033C71C104KE14D</t>
  </si>
  <si>
    <t>Multilayer ceramic capacitors X7S ±10%, 16V</t>
  </si>
  <si>
    <t>GRM0335C1E470JA01D</t>
  </si>
  <si>
    <t>47pF</t>
  </si>
  <si>
    <t>Multilayer ceramic capacitors COG ±5%, 25V</t>
  </si>
  <si>
    <t>Wirewound Inductor ±5%</t>
  </si>
  <si>
    <t>LQP03TN18NJ02D</t>
  </si>
  <si>
    <t>18nH</t>
  </si>
  <si>
    <t>Thick Film Inductor ±5%</t>
  </si>
  <si>
    <t>18pF</t>
  </si>
  <si>
    <t>6.8pF</t>
  </si>
  <si>
    <t>2.0pF</t>
  </si>
  <si>
    <t>1.2pF</t>
  </si>
  <si>
    <t>3.9nH</t>
  </si>
  <si>
    <t>2.4nH</t>
  </si>
  <si>
    <t>1.5nH</t>
  </si>
  <si>
    <t>1.6nH</t>
  </si>
  <si>
    <t>1.1nH</t>
  </si>
  <si>
    <t>GRM0335C1H1R2BA01D</t>
  </si>
  <si>
    <t>Multilayer ceramic capacitors C0G ±0.1pF, 50V</t>
  </si>
  <si>
    <t>Multilayer ceramic capacitors C0G ±0.25pF, 50V</t>
  </si>
  <si>
    <t>GRM0335C1E180GA01D</t>
  </si>
  <si>
    <t>Multilayer ceramic capacitors COG ±2%, 50V</t>
  </si>
  <si>
    <t>GRM0335C1H6R8CA01D</t>
  </si>
  <si>
    <t>GRM0335C1H2R0BA01D</t>
  </si>
  <si>
    <t>LQP03HQ3N9B02D</t>
  </si>
  <si>
    <t>Thick Film Inductor ±0.1nH</t>
  </si>
  <si>
    <t>Thick Film Inductor ±3%</t>
  </si>
  <si>
    <t>LQP03HQ2N4B02D</t>
  </si>
  <si>
    <t>LQP03HQ1N5B02D</t>
  </si>
  <si>
    <t>LQP03HQ1N6B02D</t>
  </si>
  <si>
    <t>LQP03HQ1N1B02D</t>
  </si>
  <si>
    <t>C7</t>
  </si>
  <si>
    <t>2.7pF</t>
  </si>
  <si>
    <t>1.1pF</t>
  </si>
  <si>
    <t>GRM0335C1H2R7BA01D</t>
  </si>
  <si>
    <t>GRM0335C1H1R1BA01D</t>
  </si>
  <si>
    <t>120k</t>
  </si>
  <si>
    <t>Thick Film Resistor ±1%, 1/20W</t>
  </si>
  <si>
    <t>4.7uF</t>
  </si>
  <si>
    <t>Multilayer ceramic capacitors X6S ±20%, 6.3V</t>
  </si>
  <si>
    <t>GRM155C80J475MEAAD</t>
  </si>
  <si>
    <t>Diodes or LED</t>
  </si>
  <si>
    <t>FTR5238-A0</t>
  </si>
  <si>
    <t>LR2021 LoRa Plus™ Low Power Multi Protocol Transceiver</t>
  </si>
  <si>
    <t>22pF</t>
  </si>
  <si>
    <t>GRM0335C1H2R2BA01D</t>
  </si>
  <si>
    <t>2.2pF</t>
  </si>
  <si>
    <t>22nH</t>
  </si>
  <si>
    <t>470R</t>
  </si>
  <si>
    <r>
      <t xml:space="preserve">QESM10 </t>
    </r>
    <r>
      <rPr>
        <b/>
        <sz val="10"/>
        <rFont val="Arial"/>
        <family val="2"/>
      </rPr>
      <t>1.6x1.2mm</t>
    </r>
  </si>
  <si>
    <t>Crystal unit; Tol. ±10ppm, Cload=10pF, G-Senstivity=2ppb/G max (fitted)</t>
  </si>
  <si>
    <t>C1, C18</t>
  </si>
  <si>
    <t>CRCW0201120KFKED</t>
  </si>
  <si>
    <t>U2</t>
  </si>
  <si>
    <t>1uF</t>
  </si>
  <si>
    <t>GRM155R60J106ME05J</t>
  </si>
  <si>
    <t>10uF</t>
  </si>
  <si>
    <t>Multilayer ceramic capacitors X5R ±20%, 6.3V</t>
  </si>
  <si>
    <t>SMA End Launch</t>
  </si>
  <si>
    <t>50 Ohms</t>
  </si>
  <si>
    <t>Cinch Connectivity Sol Johnson</t>
  </si>
  <si>
    <t>ANT_HF, ANT_LF</t>
  </si>
  <si>
    <t>CRCW0201xxx</t>
  </si>
  <si>
    <t>GRM0335C1E220JA01D</t>
  </si>
  <si>
    <t>C3</t>
  </si>
  <si>
    <t>C9</t>
  </si>
  <si>
    <t>GRM0335C1H7R5CA01D</t>
  </si>
  <si>
    <t>7.5pF</t>
  </si>
  <si>
    <t>GRM0335C1H1R8BA01D</t>
  </si>
  <si>
    <t>1.8pF</t>
  </si>
  <si>
    <t>GRM0335C1H3R9BA01D</t>
  </si>
  <si>
    <t>3.9pF</t>
  </si>
  <si>
    <t>GRM155R70J105KA12J</t>
  </si>
  <si>
    <t>Multilayer ceramic capacitors X7R ±10%, 6.3V</t>
  </si>
  <si>
    <t>C8, C12</t>
  </si>
  <si>
    <t>LQW15AN12NJ00D</t>
  </si>
  <si>
    <t>12nH</t>
  </si>
  <si>
    <t>LQP03HQ4N7H02D</t>
  </si>
  <si>
    <t>4.7nH</t>
  </si>
  <si>
    <t>LQP03HQ24NH02D</t>
  </si>
  <si>
    <t>24nH</t>
  </si>
  <si>
    <t>LQP03HQ7N5H02D</t>
  </si>
  <si>
    <t>7.5nH</t>
  </si>
  <si>
    <t>LQM18PN2R2MGHD</t>
  </si>
  <si>
    <t>0603</t>
  </si>
  <si>
    <t>2.2uH</t>
  </si>
  <si>
    <t>Chip Colis Inductor ±20%</t>
  </si>
  <si>
    <t>LQP03HQ22NH02D</t>
  </si>
  <si>
    <t>or</t>
  </si>
  <si>
    <t>EXS00A-CS10665</t>
  </si>
  <si>
    <r>
      <t xml:space="preserve">NX1612SA </t>
    </r>
    <r>
      <rPr>
        <b/>
        <sz val="10"/>
        <rFont val="Arial"/>
        <family val="2"/>
      </rPr>
      <t>1.6x1.2mm</t>
    </r>
  </si>
  <si>
    <t>NDK</t>
  </si>
  <si>
    <t>FTR5123-A0</t>
  </si>
  <si>
    <t>QESM09 2.0x1.6mm</t>
  </si>
  <si>
    <t>Crystal unit; Tol. ±10ppm, Cload=10pF, G-Senstivity=2ppb/G max (2.0x1.6mm size !!!)</t>
  </si>
  <si>
    <t>EXS00A-CS06465</t>
  </si>
  <si>
    <t>NX2016SA 2.0x1.6mm</t>
  </si>
  <si>
    <t xml:space="preserve">Receptacle 1x7 </t>
  </si>
  <si>
    <t>7 pins</t>
  </si>
  <si>
    <r>
      <t xml:space="preserve">Receptacle for </t>
    </r>
    <r>
      <rPr>
        <b/>
        <sz val="10"/>
        <rFont val="Arial"/>
        <family val="2"/>
      </rPr>
      <t>MCU XIAO Module</t>
    </r>
    <r>
      <rPr>
        <sz val="10"/>
        <rFont val="Arial"/>
        <family val="2"/>
      </rPr>
      <t xml:space="preserve"> - 7 Pins Through Hole F</t>
    </r>
    <r>
      <rPr>
        <b/>
        <sz val="10"/>
        <rFont val="Arial"/>
        <family val="2"/>
      </rPr>
      <t>emale</t>
    </r>
    <r>
      <rPr>
        <sz val="10"/>
        <rFont val="Arial"/>
        <family val="2"/>
      </rPr>
      <t xml:space="preserve"> Receptacle 5.00mm height,</t>
    </r>
    <r>
      <rPr>
        <b/>
        <sz val="10"/>
        <rFont val="Arial"/>
        <family val="2"/>
      </rPr>
      <t xml:space="preserve"> Top side</t>
    </r>
  </si>
  <si>
    <t>Dongguan Junliang Electronic Technology</t>
  </si>
  <si>
    <t>68000-108HLF</t>
  </si>
  <si>
    <t>Header 1x8</t>
  </si>
  <si>
    <t>8 pins</t>
  </si>
  <si>
    <r>
      <t xml:space="preserve"> 8 Pins - Through Hole Single Row M</t>
    </r>
    <r>
      <rPr>
        <b/>
        <sz val="10"/>
        <rFont val="Arial"/>
        <family val="2"/>
      </rPr>
      <t>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</si>
  <si>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FCI</t>
  </si>
  <si>
    <t>68000-110HLF</t>
  </si>
  <si>
    <t>Header 1x10</t>
  </si>
  <si>
    <t>10 pins</t>
  </si>
  <si>
    <r>
      <t xml:space="preserve">10 Pins - Through Hole Single Row Male Connector, </t>
    </r>
    <r>
      <rPr>
        <b/>
        <sz val="10"/>
        <rFont val="Arial"/>
        <family val="2"/>
      </rPr>
      <t>Bottom side</t>
    </r>
  </si>
  <si>
    <t>68000-106HLF</t>
  </si>
  <si>
    <t>Header 1x6</t>
  </si>
  <si>
    <t>6 pins</t>
  </si>
  <si>
    <r>
      <t>6 Pins - Through Hole Single Row Male Connector,</t>
    </r>
    <r>
      <rPr>
        <b/>
        <sz val="10"/>
        <rFont val="Arial"/>
        <family val="2"/>
      </rPr>
      <t xml:space="preserve"> Bottom side</t>
    </r>
  </si>
  <si>
    <t xml:space="preserve">EMr </t>
  </si>
  <si>
    <t>BLM15PG100SN1D</t>
  </si>
  <si>
    <t>10R @100 MHz</t>
  </si>
  <si>
    <r>
      <t>Custom Surface Mount RF Shield in two parts with Cover</t>
    </r>
    <r>
      <rPr>
        <b/>
        <sz val="10"/>
        <color rgb="FF000000"/>
        <rFont val="Arial"/>
        <family val="2"/>
      </rPr>
      <t xml:space="preserve"> (recommended for certification like FCC)</t>
    </r>
  </si>
  <si>
    <t>Thick Film Resistor ±5%, 1/20W (or equivalent)</t>
  </si>
  <si>
    <t>142-0711-841</t>
  </si>
  <si>
    <t>SMA End launch jack receptacle for PCB mount - for 1.20mm PCB Thickness</t>
  </si>
  <si>
    <t>U3</t>
  </si>
  <si>
    <t>ZJY-2864KSWPG01</t>
  </si>
  <si>
    <t>24.74 x 16.9mm</t>
  </si>
  <si>
    <t>ZJY Technology</t>
  </si>
  <si>
    <t>0R</t>
  </si>
  <si>
    <t>R7, R8, R9, R11, R12, R13, R15, R21, R22, R38, R39, R40, R45, R46, R47, R57, R58</t>
  </si>
  <si>
    <t>Other, LR2012, LR2022</t>
  </si>
  <si>
    <t>4.7k</t>
  </si>
  <si>
    <t>R52</t>
  </si>
  <si>
    <t>470k</t>
  </si>
  <si>
    <t>CRCW0402xxx</t>
  </si>
  <si>
    <t>R49, R50</t>
  </si>
  <si>
    <t>R53, R55, R56</t>
  </si>
  <si>
    <t>R51, R54</t>
  </si>
  <si>
    <t>C29, C33, C45</t>
  </si>
  <si>
    <t>C41, C50</t>
  </si>
  <si>
    <t>D1</t>
  </si>
  <si>
    <t>IDCC</t>
  </si>
  <si>
    <t xml:space="preserve">68000-102HLF </t>
  </si>
  <si>
    <t>Header 1x2 2.54mm</t>
  </si>
  <si>
    <t>2 pins</t>
  </si>
  <si>
    <r>
      <t xml:space="preserve"> 2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Top side</t>
    </r>
  </si>
  <si>
    <t>(jumper on IDCC)</t>
  </si>
  <si>
    <t>M7566-05</t>
  </si>
  <si>
    <t>Jumper 2.54mm</t>
  </si>
  <si>
    <t>Red Jumper Socket 2.54mm on top of IDCC for DC supply current measurements</t>
  </si>
  <si>
    <t>Harwin</t>
  </si>
  <si>
    <t>1125S-4P</t>
  </si>
  <si>
    <t>Header 1x4</t>
  </si>
  <si>
    <t>4 pins</t>
  </si>
  <si>
    <r>
      <t xml:space="preserve">4 pins - Through Hole Male header Grove Connector with Lock, Ref Nr. 110990030 - </t>
    </r>
    <r>
      <rPr>
        <b/>
        <sz val="10"/>
        <rFont val="Arial"/>
        <family val="2"/>
      </rPr>
      <t>Top side</t>
    </r>
  </si>
  <si>
    <t xml:space="preserve">Shenzhen NS-Tech </t>
  </si>
  <si>
    <t>J5, J6</t>
  </si>
  <si>
    <t>J7_SWD</t>
  </si>
  <si>
    <t>K1_USER, K2_RESET</t>
  </si>
  <si>
    <t>TS-1111A</t>
  </si>
  <si>
    <t>6.0x3.8mm</t>
  </si>
  <si>
    <t>Normally Open Tactile Switch SMT without Positioning Drill Holes - TS-1111A Ref Nr. : 605C020333262</t>
  </si>
  <si>
    <t>Xiamen Jinbeili Electronics</t>
  </si>
  <si>
    <t>95278-101-08LF</t>
  </si>
  <si>
    <t>Header 2x8 SMD</t>
  </si>
  <si>
    <t>8 Pins - 2.54mm pitch - Surface Mount Dual Row Male Connector (or equivalent type)</t>
  </si>
  <si>
    <t>Amphenol</t>
  </si>
  <si>
    <t>OLED Display Module with I2C Interface</t>
  </si>
  <si>
    <t>1N4148WT</t>
  </si>
  <si>
    <t>SOD-523F</t>
  </si>
  <si>
    <t>High Conductance Fast Switching Diode</t>
  </si>
  <si>
    <t>ON Semi</t>
  </si>
  <si>
    <t>C11, C27</t>
  </si>
  <si>
    <t xml:space="preserve">Ferrite Bead 1A 25mohm </t>
  </si>
  <si>
    <t>Ferrite Bead 400mA 50ohm at 1MHz</t>
  </si>
  <si>
    <t>C31, C38, C39, C40, C42, C44, C46, C47, C48, C49, C54</t>
  </si>
  <si>
    <t>RClamp2271ZC</t>
  </si>
  <si>
    <t>DFN 0.60 x 0.30mm</t>
  </si>
  <si>
    <t>D3, D4</t>
  </si>
  <si>
    <t>21.0x14.5mm</t>
  </si>
  <si>
    <t>FB3</t>
  </si>
  <si>
    <t>RClamp2271ZC Ultra Small RailClamp® 1 Line, 22V EOS Protection ; recommended for RF antenna port</t>
  </si>
  <si>
    <t>JP1</t>
  </si>
  <si>
    <t>BLM03EB500SN1D</t>
  </si>
  <si>
    <t>Version e788v01a</t>
  </si>
  <si>
    <t>SCH # e788v01a</t>
  </si>
  <si>
    <t>PCB # e788v01a</t>
  </si>
  <si>
    <t>pcb_e788v01a</t>
  </si>
  <si>
    <t>LR2021 Evaluation Module version based on e787v01a module</t>
  </si>
  <si>
    <t>U4</t>
  </si>
  <si>
    <t>NCP59800BMNADJTAG</t>
  </si>
  <si>
    <t>3mm x 3mm DFN8</t>
  </si>
  <si>
    <t xml:space="preserve">NCP59800 Adjustable Voltage Regulator - Low Noise, RF LDO - DFN8 0.65mm pitch </t>
  </si>
  <si>
    <t>R31, R32, R33, R34, R35, R36, R37, R41, R42, R43, R44, R59, R60, R61, R62, 868M, R915M, LR2021</t>
  </si>
  <si>
    <t>R63</t>
  </si>
  <si>
    <t>R64</t>
  </si>
  <si>
    <t>Thick Film Resistor ±5%, 1/16W (or equivalent)</t>
  </si>
  <si>
    <t>10k</t>
  </si>
  <si>
    <t>Thick Film Resistor ±5%, 1/20W (or equivalent) for 3.4VDC on U4 voltage output</t>
  </si>
  <si>
    <t>C56</t>
  </si>
  <si>
    <t>10nF</t>
  </si>
  <si>
    <t>GRM033R71C103KE14D</t>
  </si>
  <si>
    <t>C30, C34, C37, C51, C52, C55, C57</t>
  </si>
  <si>
    <t>C32, C53, C58</t>
  </si>
  <si>
    <t>FB7, FB8, FB9, FB11, FB12, FB13, FB14</t>
  </si>
  <si>
    <t>FB1, FB2, FB4, FB5, FB6, FB10, FB15, FB16</t>
  </si>
  <si>
    <t>J1_DISP, J3_DISP</t>
  </si>
  <si>
    <t>75915-308LF</t>
  </si>
  <si>
    <t>Receptacle 1x8</t>
  </si>
  <si>
    <r>
      <t xml:space="preserve"> 8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</si>
  <si>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J2_DISP</t>
  </si>
  <si>
    <t>75915-310LF</t>
  </si>
  <si>
    <t>Receptacle 1x10</t>
  </si>
  <si>
    <r>
      <t xml:space="preserve">10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</si>
  <si>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J4_DISP</t>
  </si>
  <si>
    <t>75915-306LF</t>
  </si>
  <si>
    <t>Receptacle 1x6</t>
  </si>
  <si>
    <r>
      <t xml:space="preserve">6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</si>
  <si>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JH1, JH3</t>
  </si>
  <si>
    <t>JH2</t>
  </si>
  <si>
    <t>JH4</t>
  </si>
  <si>
    <t>Additional or optional components</t>
  </si>
  <si>
    <t>33k</t>
  </si>
  <si>
    <t>16.03.2026</t>
  </si>
  <si>
    <t>LR2021 Evaluation Module - 868/915 MHz &amp; 2.4 GHz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</si>
</sst>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0" fontId="4" fillId="6" borderId="5" xfId="0" applyFont="1" applyFill="1" applyBorder="1" applyAlignment="1" applyProtection="1">
      <alignment horizontal="center"/>
      <protection locked="0"/>
    </xf>
    <xf numFmtId="0" fontId="0" fillId="6" borderId="5" xfId="0" quotePrefix="1" applyFill="1" applyBorder="1" applyAlignment="1">
      <alignment horizontal="center"/>
    </xf>
    <xf numFmtId="0" fontId="1" fillId="5" borderId="34" xfId="0" applyFont="1" applyFill="1" applyBorder="1" applyAlignment="1" applyProtection="1">
      <alignment horizontal="center" wrapText="1"/>
      <protection locked="0"/>
    </xf>
    <xf numFmtId="0" fontId="4" fillId="5" borderId="16" xfId="0" applyFont="1" applyFill="1" applyBorder="1" applyAlignment="1" applyProtection="1">
      <alignment horizontal="center"/>
      <protection locked="0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>
      <alignment horizontal="center"/>
    </xf>
    <xf numFmtId="0" fontId="1" fillId="6" borderId="37" xfId="0" applyFont="1" applyFill="1" applyBorder="1" applyAlignment="1" applyProtection="1">
      <alignment horizontal="center"/>
      <protection locked="0"/>
    </xf>
    <xf numFmtId="0" fontId="9" fillId="6" borderId="32" xfId="0" applyFont="1" applyFill="1" applyBorder="1" applyAlignment="1" applyProtection="1">
      <alignment horizontal="left"/>
      <protection locked="0"/>
    </xf>
    <xf numFmtId="0" fontId="0" fillId="6" borderId="28" xfId="0" applyFill="1" applyBorder="1" applyProtection="1">
      <protection locked="0"/>
    </xf>
    <xf numFmtId="0" fontId="0" fillId="6" borderId="28" xfId="0" applyFill="1" applyBorder="1" applyAlignment="1" applyProtection="1">
      <alignment horizontal="center"/>
      <protection locked="0"/>
    </xf>
    <xf numFmtId="0" fontId="0" fillId="6" borderId="33" xfId="0" applyFill="1" applyBorder="1" applyProtection="1">
      <protection locked="0"/>
    </xf>
    <xf numFmtId="14" fontId="1" fillId="0" borderId="5" xfId="0" quotePrefix="1" applyNumberFormat="1" applyFont="1" applyBorder="1" applyAlignment="1">
      <alignment horizontal="left" vertical="top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 wrapText="1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wrapText="1"/>
    </xf>
    <xf numFmtId="0" fontId="0" fillId="6" borderId="17" xfId="0" applyFill="1" applyBorder="1" applyAlignment="1">
      <alignment horizontal="center" wrapText="1"/>
    </xf>
    <xf numFmtId="0" fontId="0" fillId="6" borderId="5" xfId="0" applyFill="1" applyBorder="1" applyAlignment="1">
      <alignment horizontal="center"/>
    </xf>
    <xf numFmtId="0" fontId="1" fillId="6" borderId="34" xfId="0" applyFont="1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5" xfId="0" applyFont="1" applyBorder="1" applyAlignment="1">
      <alignment horizontal="center"/>
    </xf>
    <xf numFmtId="9" fontId="1" fillId="6" borderId="39" xfId="0" applyNumberFormat="1" applyFont="1" applyFill="1" applyBorder="1" applyAlignment="1" applyProtection="1">
      <alignment horizontal="center"/>
      <protection locked="0"/>
    </xf>
    <xf numFmtId="1" fontId="4" fillId="6" borderId="37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 applyProtection="1">
      <alignment horizontal="center" wrapText="1"/>
      <protection locked="0"/>
    </xf>
    <xf numFmtId="0" fontId="0" fillId="6" borderId="38" xfId="0" applyFill="1" applyBorder="1" applyAlignment="1" applyProtection="1">
      <alignment horizontal="center"/>
      <protection locked="0"/>
    </xf>
    <xf numFmtId="0" fontId="1" fillId="0" borderId="10" xfId="0" quotePrefix="1" applyFont="1" applyBorder="1" applyAlignment="1" applyProtection="1">
      <alignment horizontal="center"/>
      <protection locked="0"/>
    </xf>
    <xf numFmtId="14" fontId="1" fillId="0" borderId="34" xfId="0" quotePrefix="1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  <protection locked="0"/>
    </xf>
    <xf numFmtId="9" fontId="1" fillId="5" borderId="17" xfId="0" applyNumberFormat="1" applyFont="1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>
      <alignment horizontal="center" vertical="center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1" fillId="5" borderId="16" xfId="0" applyFont="1" applyFill="1" applyBorder="1" applyAlignment="1" applyProtection="1">
      <alignment horizontal="center" vertical="center"/>
      <protection locked="0"/>
    </xf>
    <xf numFmtId="14" fontId="1" fillId="0" borderId="40" xfId="0" quotePrefix="1" applyNumberFormat="1" applyFont="1" applyBorder="1" applyAlignment="1" applyProtection="1">
      <alignment horizontal="center"/>
      <protection locked="0"/>
    </xf>
    <xf numFmtId="14" fontId="1" fillId="0" borderId="10" xfId="0" quotePrefix="1" applyNumberFormat="1" applyFont="1" applyBorder="1" applyAlignment="1" applyProtection="1">
      <alignment horizontal="center"/>
      <protection locked="0"/>
    </xf>
    <xf numFmtId="0" fontId="1" fillId="6" borderId="17" xfId="0" applyFont="1" applyFill="1" applyBorder="1" applyAlignment="1" applyProtection="1">
      <alignment horizontal="center"/>
      <protection locked="0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quotePrefix="1" applyFont="1" applyFill="1" applyBorder="1" applyAlignment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  <protection locked="0"/>
    </xf>
    <xf numFmtId="0" fontId="4" fillId="6" borderId="16" xfId="0" applyFont="1" applyFill="1" applyBorder="1" applyAlignment="1" applyProtection="1">
      <alignment horizontal="center" vertical="center"/>
      <protection locked="0"/>
    </xf>
    <xf numFmtId="0" fontId="0" fillId="6" borderId="19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9" fontId="4" fillId="2" borderId="19" xfId="0" applyNumberFormat="1" applyFont="1" applyFill="1" applyBorder="1" applyAlignment="1" applyProtection="1">
      <alignment horizontal="center"/>
      <protection locked="0"/>
    </xf>
    <xf numFmtId="9" fontId="4" fillId="2" borderId="28" xfId="0" applyNumberFormat="1" applyFont="1" applyFill="1" applyBorder="1" applyAlignment="1" applyProtection="1">
      <alignment horizont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2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4" fontId="1" fillId="0" borderId="35" xfId="0" applyNumberFormat="1" applyFont="1" applyBorder="1" applyAlignment="1" applyProtection="1">
      <alignment horizont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0" fontId="2" fillId="3" borderId="32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1" fillId="0" borderId="28" xfId="0" quotePrefix="1" applyFont="1" applyBorder="1" applyAlignment="1">
      <alignment horizontal="left" vertical="top" wrapText="1"/>
    </xf>
    <xf numFmtId="0" fontId="1" fillId="0" borderId="33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80682</xdr:colOff>
      <xdr:row>0</xdr:row>
      <xdr:rowOff>170330</xdr:rowOff>
    </xdr:from>
    <xdr:to>
      <xdr:col>1</xdr:col>
      <xdr:colOff>1207993</xdr:colOff>
      <xdr:row>3</xdr:row>
      <xdr:rowOff>168050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46F5B53-8398-4E87-952A-F82D92DA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682" y="170330"/>
          <a:ext cx="2725270" cy="517673"/>
        </a:xfrm>
        <a:prstGeom prst="rect">
          <a:avLst/>
        </a:prstGeom>
      </xdr:spPr>
    </xdr:pic>
    <xdr:clientData/>
  </xdr:twoCellAnchor>
  <xdr:twoCellAnchor editAs="oneCell">
    <xdr:from>
      <xdr:col>2</xdr:col>
      <xdr:colOff>487680</xdr:colOff>
      <xdr:row>1</xdr:row>
      <xdr:rowOff>22861</xdr:rowOff>
    </xdr:from>
    <xdr:to>
      <xdr:col>2</xdr:col>
      <xdr:colOff>1243775</xdr:colOff>
      <xdr:row>3</xdr:row>
      <xdr:rowOff>152401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89113BB5-6C3E-4EDE-9835-458F2F90F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6660" y="198121"/>
          <a:ext cx="756095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167640</xdr:rowOff>
    </xdr:from>
    <xdr:to>
      <xdr:col>1</xdr:col>
      <xdr:colOff>1871830</xdr:colOff>
      <xdr:row>3</xdr:row>
      <xdr:rowOff>174773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4C96518-B31C-45DC-8398-9DED6CE2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" y="167640"/>
          <a:ext cx="2725270" cy="51767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</xdr:row>
      <xdr:rowOff>30480</xdr:rowOff>
    </xdr:from>
    <xdr:to>
      <xdr:col>2</xdr:col>
      <xdr:colOff>763715</xdr:colOff>
      <xdr:row>3</xdr:row>
      <xdr:rowOff>160020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FB570F9A-BC30-4EB3-AF61-45013B5F0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05740"/>
          <a:ext cx="756095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AO87"/>
  <sheetViews>
    <sheetView tabSelected="1" view="pageBreakPreview" zoomScale="70" zoomScaleNormal="70" zoomScaleSheetLayoutView="70" workbookViewId="0"/>
  </sheetViews>
  <sheetFormatPr defaultColWidth="11.42578125" defaultRowHeight="12.75" x14ac:dyDescent="0.2"/>
  <cols>
    <col min="1" max="1" width="23.28515625" style="27" customWidth="1"/>
    <col min="2" max="2" width="26.5703125" style="26" bestFit="1" customWidth="1"/>
    <col min="3" max="3" width="20.42578125" style="26" customWidth="1"/>
    <col min="4" max="4" width="15.7109375" style="27" customWidth="1"/>
    <col min="5" max="5" width="7.140625" style="26" customWidth="1"/>
    <col min="6" max="6" width="90.140625" style="27" bestFit="1" customWidth="1"/>
    <col min="7" max="7" width="36.28515625" style="27" bestFit="1" customWidth="1"/>
    <col min="8" max="16384" width="11.42578125" style="27"/>
  </cols>
  <sheetData>
    <row r="1" spans="1:41" ht="13.5" thickBot="1" x14ac:dyDescent="0.25"/>
    <row r="2" spans="1:41" ht="13.5" customHeight="1" thickBot="1" x14ac:dyDescent="0.25">
      <c r="A2" s="28"/>
      <c r="B2" s="29"/>
      <c r="C2" s="30"/>
      <c r="D2" s="97" t="s">
        <v>290</v>
      </c>
      <c r="E2" s="98"/>
      <c r="F2" s="99"/>
      <c r="G2" s="11" t="s">
        <v>51</v>
      </c>
    </row>
    <row r="3" spans="1:41" ht="13.5" customHeight="1" thickBot="1" x14ac:dyDescent="0.25">
      <c r="A3" s="31"/>
      <c r="C3" s="32"/>
      <c r="D3" s="100"/>
      <c r="E3" s="101"/>
      <c r="F3" s="102"/>
      <c r="G3" s="1" t="s">
        <v>251</v>
      </c>
    </row>
    <row r="4" spans="1:41" ht="14.25" customHeight="1" thickBot="1" x14ac:dyDescent="0.25">
      <c r="A4" s="33"/>
      <c r="B4" s="34"/>
      <c r="C4" s="35"/>
      <c r="D4" s="10" t="s">
        <v>289</v>
      </c>
      <c r="E4" s="72" t="s">
        <v>183</v>
      </c>
      <c r="F4" s="36" t="s">
        <v>250</v>
      </c>
      <c r="G4" s="2" t="s">
        <v>252</v>
      </c>
    </row>
    <row r="5" spans="1:41" ht="13.5" customHeight="1" thickBot="1" x14ac:dyDescent="0.25">
      <c r="A5" s="31"/>
      <c r="D5" s="66"/>
      <c r="E5" s="6"/>
      <c r="F5" s="66"/>
      <c r="G5" s="15"/>
    </row>
    <row r="6" spans="1:41" s="26" customFormat="1" ht="13.5" customHeight="1" x14ac:dyDescent="0.2">
      <c r="A6" s="13" t="s">
        <v>0</v>
      </c>
      <c r="B6" s="12" t="s">
        <v>5</v>
      </c>
      <c r="C6" s="12" t="s">
        <v>9</v>
      </c>
      <c r="D6" s="12" t="s">
        <v>1</v>
      </c>
      <c r="E6" s="12" t="s">
        <v>4</v>
      </c>
      <c r="F6" s="12" t="s">
        <v>2</v>
      </c>
      <c r="G6" s="14" t="s">
        <v>3</v>
      </c>
    </row>
    <row r="7" spans="1:41" s="6" customFormat="1" ht="13.5" customHeight="1" x14ac:dyDescent="0.2">
      <c r="A7" s="38" t="s">
        <v>20</v>
      </c>
      <c r="B7" s="37" t="s">
        <v>53</v>
      </c>
      <c r="C7" s="37" t="s">
        <v>38</v>
      </c>
      <c r="D7" s="18" t="s">
        <v>54</v>
      </c>
      <c r="E7" s="18">
        <v>1</v>
      </c>
      <c r="F7" s="22" t="s">
        <v>112</v>
      </c>
      <c r="G7" s="47" t="s">
        <v>29</v>
      </c>
    </row>
    <row r="8" spans="1:41" s="6" customFormat="1" ht="13.5" customHeight="1" x14ac:dyDescent="0.2">
      <c r="A8" s="38" t="s">
        <v>122</v>
      </c>
      <c r="B8" s="67">
        <v>320031231</v>
      </c>
      <c r="C8" s="67" t="s">
        <v>166</v>
      </c>
      <c r="D8" s="67" t="s">
        <v>167</v>
      </c>
      <c r="E8" s="16">
        <v>2</v>
      </c>
      <c r="F8" s="16" t="s">
        <v>168</v>
      </c>
      <c r="G8" s="17" t="s">
        <v>169</v>
      </c>
    </row>
    <row r="9" spans="1:41" s="6" customFormat="1" ht="13.5" customHeight="1" x14ac:dyDescent="0.2">
      <c r="A9" s="38" t="s">
        <v>190</v>
      </c>
      <c r="B9" s="67" t="s">
        <v>191</v>
      </c>
      <c r="C9" s="67" t="s">
        <v>192</v>
      </c>
      <c r="D9" s="67" t="s">
        <v>14</v>
      </c>
      <c r="E9" s="18">
        <v>1</v>
      </c>
      <c r="F9" s="56" t="s">
        <v>233</v>
      </c>
      <c r="G9" s="17" t="s">
        <v>193</v>
      </c>
    </row>
    <row r="10" spans="1:41" s="6" customFormat="1" ht="13.5" customHeight="1" x14ac:dyDescent="0.2">
      <c r="A10" s="38" t="s">
        <v>255</v>
      </c>
      <c r="B10" s="67" t="s">
        <v>256</v>
      </c>
      <c r="C10" s="67" t="s">
        <v>257</v>
      </c>
      <c r="D10" s="67" t="s">
        <v>172</v>
      </c>
      <c r="E10" s="18">
        <v>1</v>
      </c>
      <c r="F10" s="56" t="s">
        <v>258</v>
      </c>
      <c r="G10" s="17" t="s">
        <v>237</v>
      </c>
    </row>
    <row r="11" spans="1:41" s="6" customFormat="1" ht="13.5" customHeight="1" x14ac:dyDescent="0.2">
      <c r="A11" s="103" t="s">
        <v>11</v>
      </c>
      <c r="B11" s="104"/>
      <c r="C11" s="104"/>
      <c r="D11" s="104"/>
      <c r="E11" s="104"/>
      <c r="F11" s="104"/>
      <c r="G11" s="105"/>
    </row>
    <row r="12" spans="1:41" s="19" customFormat="1" x14ac:dyDescent="0.2">
      <c r="A12" s="38" t="s">
        <v>21</v>
      </c>
      <c r="B12" s="40" t="s">
        <v>121</v>
      </c>
      <c r="C12" s="25" t="s">
        <v>46</v>
      </c>
      <c r="D12" s="16" t="s">
        <v>105</v>
      </c>
      <c r="E12" s="16">
        <v>1</v>
      </c>
      <c r="F12" s="18" t="s">
        <v>106</v>
      </c>
      <c r="G12" s="21" t="s">
        <v>17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s="19" customFormat="1" x14ac:dyDescent="0.2">
      <c r="A13" s="39" t="s">
        <v>56</v>
      </c>
      <c r="B13" s="40" t="s">
        <v>57</v>
      </c>
      <c r="C13" s="25" t="s">
        <v>46</v>
      </c>
      <c r="D13" s="18" t="s">
        <v>60</v>
      </c>
      <c r="E13" s="16">
        <v>1</v>
      </c>
      <c r="F13" s="18" t="s">
        <v>58</v>
      </c>
      <c r="G13" s="21" t="s">
        <v>59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s="19" customFormat="1" ht="51" x14ac:dyDescent="0.2">
      <c r="A14" s="61" t="s">
        <v>195</v>
      </c>
      <c r="B14" s="40" t="s">
        <v>131</v>
      </c>
      <c r="C14" s="24" t="s">
        <v>46</v>
      </c>
      <c r="D14" s="16" t="s">
        <v>117</v>
      </c>
      <c r="E14" s="16">
        <v>17</v>
      </c>
      <c r="F14" s="16" t="s">
        <v>187</v>
      </c>
      <c r="G14" s="17" t="s">
        <v>17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s="19" customFormat="1" ht="51" x14ac:dyDescent="0.2">
      <c r="A15" s="61" t="s">
        <v>259</v>
      </c>
      <c r="B15" s="40" t="s">
        <v>131</v>
      </c>
      <c r="C15" s="24" t="s">
        <v>46</v>
      </c>
      <c r="D15" s="16" t="s">
        <v>194</v>
      </c>
      <c r="E15" s="16">
        <v>18</v>
      </c>
      <c r="F15" s="16" t="s">
        <v>187</v>
      </c>
      <c r="G15" s="17" t="s">
        <v>17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s="19" customFormat="1" x14ac:dyDescent="0.2">
      <c r="A16" s="61" t="s">
        <v>201</v>
      </c>
      <c r="B16" s="40" t="s">
        <v>131</v>
      </c>
      <c r="C16" s="24" t="s">
        <v>46</v>
      </c>
      <c r="D16" s="16" t="s">
        <v>197</v>
      </c>
      <c r="E16" s="16">
        <v>2</v>
      </c>
      <c r="F16" s="16" t="s">
        <v>187</v>
      </c>
      <c r="G16" s="17" t="s">
        <v>17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s="19" customFormat="1" x14ac:dyDescent="0.2">
      <c r="A17" s="61" t="s">
        <v>198</v>
      </c>
      <c r="B17" s="40" t="s">
        <v>200</v>
      </c>
      <c r="C17" s="24" t="s">
        <v>15</v>
      </c>
      <c r="D17" s="16" t="s">
        <v>199</v>
      </c>
      <c r="E17" s="16">
        <v>1</v>
      </c>
      <c r="F17" s="16" t="s">
        <v>262</v>
      </c>
      <c r="G17" s="17" t="s">
        <v>17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s="19" customFormat="1" x14ac:dyDescent="0.2">
      <c r="A18" s="61" t="s">
        <v>203</v>
      </c>
      <c r="B18" s="40" t="s">
        <v>200</v>
      </c>
      <c r="C18" s="24" t="s">
        <v>15</v>
      </c>
      <c r="D18" s="16" t="s">
        <v>194</v>
      </c>
      <c r="E18" s="16">
        <v>2</v>
      </c>
      <c r="F18" s="16" t="s">
        <v>262</v>
      </c>
      <c r="G18" s="17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s="19" customFormat="1" x14ac:dyDescent="0.2">
      <c r="A19" s="61" t="s">
        <v>202</v>
      </c>
      <c r="B19" s="40" t="s">
        <v>200</v>
      </c>
      <c r="C19" s="24" t="s">
        <v>15</v>
      </c>
      <c r="D19" s="16" t="s">
        <v>197</v>
      </c>
      <c r="E19" s="16">
        <v>3</v>
      </c>
      <c r="F19" s="16" t="s">
        <v>262</v>
      </c>
      <c r="G19" s="17" t="s">
        <v>17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s="19" customFormat="1" x14ac:dyDescent="0.2">
      <c r="A20" s="61" t="s">
        <v>260</v>
      </c>
      <c r="B20" s="40" t="s">
        <v>200</v>
      </c>
      <c r="C20" s="24" t="s">
        <v>46</v>
      </c>
      <c r="D20" s="16" t="s">
        <v>288</v>
      </c>
      <c r="E20" s="16">
        <v>1</v>
      </c>
      <c r="F20" s="16" t="s">
        <v>264</v>
      </c>
      <c r="G20" s="17" t="s">
        <v>17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s="19" customFormat="1" x14ac:dyDescent="0.2">
      <c r="A21" s="61" t="s">
        <v>261</v>
      </c>
      <c r="B21" s="40" t="s">
        <v>200</v>
      </c>
      <c r="C21" s="24" t="s">
        <v>46</v>
      </c>
      <c r="D21" s="16" t="s">
        <v>263</v>
      </c>
      <c r="E21" s="16">
        <v>1</v>
      </c>
      <c r="F21" s="16" t="s">
        <v>187</v>
      </c>
      <c r="G21" s="17" t="s">
        <v>17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s="19" customFormat="1" x14ac:dyDescent="0.2">
      <c r="A22" s="62" t="s">
        <v>196</v>
      </c>
      <c r="B22" s="63"/>
      <c r="C22" s="45" t="s">
        <v>46</v>
      </c>
      <c r="D22" s="44" t="s">
        <v>47</v>
      </c>
      <c r="E22" s="44">
        <v>0</v>
      </c>
      <c r="F22" s="42"/>
      <c r="G22" s="43" t="s">
        <v>17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s="6" customFormat="1" ht="13.5" customHeight="1" x14ac:dyDescent="0.2">
      <c r="A23" s="94" t="s">
        <v>10</v>
      </c>
      <c r="B23" s="95"/>
      <c r="C23" s="95"/>
      <c r="D23" s="95"/>
      <c r="E23" s="95"/>
      <c r="F23" s="95"/>
      <c r="G23" s="96"/>
    </row>
    <row r="24" spans="1:41" s="19" customFormat="1" x14ac:dyDescent="0.2">
      <c r="A24" s="38" t="s">
        <v>120</v>
      </c>
      <c r="B24" s="23" t="s">
        <v>70</v>
      </c>
      <c r="C24" s="24" t="s">
        <v>46</v>
      </c>
      <c r="D24" s="16" t="s">
        <v>71</v>
      </c>
      <c r="E24" s="16">
        <v>2</v>
      </c>
      <c r="F24" s="16" t="s">
        <v>72</v>
      </c>
      <c r="G24" s="17" t="s">
        <v>16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s="19" customFormat="1" x14ac:dyDescent="0.2">
      <c r="A25" s="39" t="s">
        <v>22</v>
      </c>
      <c r="B25" s="56" t="s">
        <v>132</v>
      </c>
      <c r="C25" s="57" t="s">
        <v>46</v>
      </c>
      <c r="D25" s="16" t="s">
        <v>113</v>
      </c>
      <c r="E25" s="16">
        <v>1</v>
      </c>
      <c r="F25" s="16" t="s">
        <v>72</v>
      </c>
      <c r="G25" s="17" t="s">
        <v>16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s="19" customFormat="1" x14ac:dyDescent="0.2">
      <c r="A26" s="39" t="s">
        <v>133</v>
      </c>
      <c r="B26" s="56" t="s">
        <v>135</v>
      </c>
      <c r="C26" s="57" t="s">
        <v>46</v>
      </c>
      <c r="D26" s="16" t="s">
        <v>136</v>
      </c>
      <c r="E26" s="16">
        <v>1</v>
      </c>
      <c r="F26" s="16" t="s">
        <v>88</v>
      </c>
      <c r="G26" s="17" t="s">
        <v>16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s="19" customFormat="1" x14ac:dyDescent="0.2">
      <c r="A27" s="39" t="s">
        <v>23</v>
      </c>
      <c r="B27" s="23" t="s">
        <v>137</v>
      </c>
      <c r="C27" s="25" t="s">
        <v>46</v>
      </c>
      <c r="D27" s="16" t="s">
        <v>138</v>
      </c>
      <c r="E27" s="16">
        <v>1</v>
      </c>
      <c r="F27" s="16" t="s">
        <v>87</v>
      </c>
      <c r="G27" s="17" t="s">
        <v>16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s="19" customFormat="1" x14ac:dyDescent="0.2">
      <c r="A28" s="38" t="s">
        <v>100</v>
      </c>
      <c r="B28" s="56" t="s">
        <v>114</v>
      </c>
      <c r="C28" s="24" t="s">
        <v>46</v>
      </c>
      <c r="D28" s="16" t="s">
        <v>115</v>
      </c>
      <c r="E28" s="16">
        <v>1</v>
      </c>
      <c r="F28" s="16" t="s">
        <v>87</v>
      </c>
      <c r="G28" s="17" t="s">
        <v>16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s="19" customFormat="1" ht="12.75" customHeight="1" x14ac:dyDescent="0.2">
      <c r="A29" s="39" t="s">
        <v>143</v>
      </c>
      <c r="B29" s="56" t="s">
        <v>89</v>
      </c>
      <c r="C29" s="24" t="s">
        <v>46</v>
      </c>
      <c r="D29" s="16" t="s">
        <v>77</v>
      </c>
      <c r="E29" s="16">
        <v>2</v>
      </c>
      <c r="F29" s="16" t="s">
        <v>90</v>
      </c>
      <c r="G29" s="17" t="s">
        <v>16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s="19" customFormat="1" ht="12.75" customHeight="1" x14ac:dyDescent="0.2">
      <c r="A30" s="39" t="s">
        <v>134</v>
      </c>
      <c r="B30" s="56" t="s">
        <v>139</v>
      </c>
      <c r="C30" s="24" t="s">
        <v>46</v>
      </c>
      <c r="D30" s="16" t="s">
        <v>140</v>
      </c>
      <c r="E30" s="16">
        <v>1</v>
      </c>
      <c r="F30" s="16" t="s">
        <v>87</v>
      </c>
      <c r="G30" s="17" t="s">
        <v>16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s="19" customFormat="1" x14ac:dyDescent="0.2">
      <c r="A31" s="38" t="s">
        <v>37</v>
      </c>
      <c r="B31" s="23" t="s">
        <v>137</v>
      </c>
      <c r="C31" s="25" t="s">
        <v>46</v>
      </c>
      <c r="D31" s="16" t="s">
        <v>138</v>
      </c>
      <c r="E31" s="16">
        <v>1</v>
      </c>
      <c r="F31" s="16" t="s">
        <v>87</v>
      </c>
      <c r="G31" s="17" t="s">
        <v>16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s="19" customFormat="1" x14ac:dyDescent="0.2">
      <c r="A32" s="38" t="s">
        <v>25</v>
      </c>
      <c r="B32" s="56" t="s">
        <v>91</v>
      </c>
      <c r="C32" s="24" t="s">
        <v>46</v>
      </c>
      <c r="D32" s="16" t="s">
        <v>78</v>
      </c>
      <c r="E32" s="16">
        <v>1</v>
      </c>
      <c r="F32" s="16" t="s">
        <v>88</v>
      </c>
      <c r="G32" s="17" t="s">
        <v>16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1" s="19" customFormat="1" x14ac:dyDescent="0.2">
      <c r="A33" s="38" t="s">
        <v>26</v>
      </c>
      <c r="B33" s="56" t="s">
        <v>103</v>
      </c>
      <c r="C33" s="24" t="s">
        <v>46</v>
      </c>
      <c r="D33" s="16" t="s">
        <v>101</v>
      </c>
      <c r="E33" s="16">
        <v>1</v>
      </c>
      <c r="F33" s="16" t="s">
        <v>87</v>
      </c>
      <c r="G33" s="17" t="s">
        <v>16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1:41" s="19" customFormat="1" x14ac:dyDescent="0.2">
      <c r="A34" s="38" t="s">
        <v>27</v>
      </c>
      <c r="B34" s="60" t="s">
        <v>104</v>
      </c>
      <c r="C34" s="24" t="s">
        <v>46</v>
      </c>
      <c r="D34" s="16" t="s">
        <v>102</v>
      </c>
      <c r="E34" s="16">
        <v>1</v>
      </c>
      <c r="F34" s="16" t="s">
        <v>87</v>
      </c>
      <c r="G34" s="17" t="s">
        <v>16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1" s="19" customFormat="1" ht="13.5" customHeight="1" x14ac:dyDescent="0.2">
      <c r="A35" s="38" t="s">
        <v>39</v>
      </c>
      <c r="B35" s="23" t="s">
        <v>86</v>
      </c>
      <c r="C35" s="24" t="s">
        <v>46</v>
      </c>
      <c r="D35" s="16" t="s">
        <v>80</v>
      </c>
      <c r="E35" s="16">
        <v>1</v>
      </c>
      <c r="F35" s="16" t="s">
        <v>87</v>
      </c>
      <c r="G35" s="17" t="s">
        <v>16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41" s="19" customFormat="1" ht="13.5" customHeight="1" x14ac:dyDescent="0.2">
      <c r="A36" s="38" t="s">
        <v>30</v>
      </c>
      <c r="B36" s="56" t="s">
        <v>92</v>
      </c>
      <c r="C36" s="24" t="s">
        <v>46</v>
      </c>
      <c r="D36" s="16" t="s">
        <v>79</v>
      </c>
      <c r="E36" s="16">
        <v>1</v>
      </c>
      <c r="F36" s="16" t="s">
        <v>87</v>
      </c>
      <c r="G36" s="17" t="s">
        <v>16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s="19" customFormat="1" ht="13.5" customHeight="1" x14ac:dyDescent="0.2">
      <c r="A37" s="38" t="s">
        <v>40</v>
      </c>
      <c r="B37" s="56" t="s">
        <v>48</v>
      </c>
      <c r="C37" s="24" t="s">
        <v>46</v>
      </c>
      <c r="D37" s="16" t="s">
        <v>34</v>
      </c>
      <c r="E37" s="16">
        <v>1</v>
      </c>
      <c r="F37" s="16" t="s">
        <v>19</v>
      </c>
      <c r="G37" s="17" t="s">
        <v>16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s="19" customFormat="1" ht="13.5" customHeight="1" x14ac:dyDescent="0.2">
      <c r="A38" s="38" t="s">
        <v>265</v>
      </c>
      <c r="B38" s="56" t="s">
        <v>267</v>
      </c>
      <c r="C38" s="24" t="s">
        <v>46</v>
      </c>
      <c r="D38" s="16" t="s">
        <v>266</v>
      </c>
      <c r="E38" s="16">
        <v>1</v>
      </c>
      <c r="F38" s="16" t="s">
        <v>19</v>
      </c>
      <c r="G38" s="17" t="s">
        <v>16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s="19" customFormat="1" ht="13.5" customHeight="1" x14ac:dyDescent="0.2">
      <c r="A39" s="38" t="s">
        <v>204</v>
      </c>
      <c r="B39" s="23" t="s">
        <v>62</v>
      </c>
      <c r="C39" s="24" t="s">
        <v>15</v>
      </c>
      <c r="D39" s="24" t="s">
        <v>61</v>
      </c>
      <c r="E39" s="16">
        <v>3</v>
      </c>
      <c r="F39" s="16" t="s">
        <v>63</v>
      </c>
      <c r="G39" s="17" t="s">
        <v>16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s="19" customFormat="1" ht="25.5" x14ac:dyDescent="0.2">
      <c r="A40" s="61" t="s">
        <v>268</v>
      </c>
      <c r="B40" s="16" t="s">
        <v>141</v>
      </c>
      <c r="C40" s="24" t="s">
        <v>15</v>
      </c>
      <c r="D40" s="16" t="s">
        <v>123</v>
      </c>
      <c r="E40" s="16">
        <v>7</v>
      </c>
      <c r="F40" s="16" t="s">
        <v>142</v>
      </c>
      <c r="G40" s="17" t="s">
        <v>16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s="19" customFormat="1" ht="38.25" x14ac:dyDescent="0.2">
      <c r="A41" s="61" t="s">
        <v>241</v>
      </c>
      <c r="B41" s="23" t="s">
        <v>68</v>
      </c>
      <c r="C41" s="24" t="s">
        <v>46</v>
      </c>
      <c r="D41" s="16" t="s">
        <v>18</v>
      </c>
      <c r="E41" s="16">
        <v>11</v>
      </c>
      <c r="F41" s="16" t="s">
        <v>69</v>
      </c>
      <c r="G41" s="17" t="s">
        <v>16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s="19" customFormat="1" ht="13.5" customHeight="1" x14ac:dyDescent="0.2">
      <c r="A42" s="38" t="s">
        <v>269</v>
      </c>
      <c r="B42" s="16" t="s">
        <v>109</v>
      </c>
      <c r="C42" s="24" t="s">
        <v>15</v>
      </c>
      <c r="D42" s="16" t="s">
        <v>107</v>
      </c>
      <c r="E42" s="16">
        <v>3</v>
      </c>
      <c r="F42" s="16" t="s">
        <v>108</v>
      </c>
      <c r="G42" s="17" t="s">
        <v>16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s="19" customFormat="1" ht="13.5" customHeight="1" x14ac:dyDescent="0.2">
      <c r="A43" s="38" t="s">
        <v>205</v>
      </c>
      <c r="B43" s="59" t="s">
        <v>124</v>
      </c>
      <c r="C43" s="24" t="s">
        <v>15</v>
      </c>
      <c r="D43" s="16" t="s">
        <v>125</v>
      </c>
      <c r="E43" s="16">
        <v>2</v>
      </c>
      <c r="F43" s="16" t="s">
        <v>126</v>
      </c>
      <c r="G43" s="17" t="s">
        <v>16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s="19" customFormat="1" ht="13.5" customHeight="1" x14ac:dyDescent="0.2">
      <c r="A44" s="62" t="s">
        <v>238</v>
      </c>
      <c r="B44" s="64"/>
      <c r="C44" s="45" t="s">
        <v>46</v>
      </c>
      <c r="D44" s="44" t="s">
        <v>47</v>
      </c>
      <c r="E44" s="44">
        <v>0</v>
      </c>
      <c r="F44" s="42"/>
      <c r="G44" s="43" t="s">
        <v>16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s="19" customFormat="1" ht="13.5" customHeight="1" x14ac:dyDescent="0.2">
      <c r="A45" s="106" t="s">
        <v>12</v>
      </c>
      <c r="B45" s="107"/>
      <c r="C45" s="107"/>
      <c r="D45" s="107"/>
      <c r="E45" s="107"/>
      <c r="F45" s="107"/>
      <c r="G45" s="10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s="19" customFormat="1" ht="13.5" customHeight="1" x14ac:dyDescent="0.2">
      <c r="A46" s="38" t="s">
        <v>24</v>
      </c>
      <c r="B46" s="46" t="s">
        <v>144</v>
      </c>
      <c r="C46" s="24" t="s">
        <v>15</v>
      </c>
      <c r="D46" s="18" t="s">
        <v>145</v>
      </c>
      <c r="E46" s="18">
        <v>1</v>
      </c>
      <c r="F46" s="18" t="s">
        <v>73</v>
      </c>
      <c r="G46" s="17" t="s">
        <v>16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s="19" customFormat="1" ht="13.5" customHeight="1" x14ac:dyDescent="0.2">
      <c r="A47" s="38" t="s">
        <v>64</v>
      </c>
      <c r="B47" s="58" t="s">
        <v>146</v>
      </c>
      <c r="C47" s="24" t="s">
        <v>46</v>
      </c>
      <c r="D47" s="16" t="s">
        <v>147</v>
      </c>
      <c r="E47" s="16">
        <v>1</v>
      </c>
      <c r="F47" s="16" t="s">
        <v>95</v>
      </c>
      <c r="G47" s="17" t="s">
        <v>16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s="19" customFormat="1" ht="13.5" customHeight="1" x14ac:dyDescent="0.2">
      <c r="A48" s="38" t="s">
        <v>65</v>
      </c>
      <c r="B48" s="58" t="s">
        <v>93</v>
      </c>
      <c r="C48" s="24" t="s">
        <v>46</v>
      </c>
      <c r="D48" s="16" t="s">
        <v>81</v>
      </c>
      <c r="E48" s="16">
        <v>1</v>
      </c>
      <c r="F48" s="16" t="s">
        <v>94</v>
      </c>
      <c r="G48" s="17" t="s">
        <v>16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s="19" customFormat="1" ht="13.5" customHeight="1" x14ac:dyDescent="0.2">
      <c r="A49" s="38" t="s">
        <v>31</v>
      </c>
      <c r="B49" s="58" t="s">
        <v>148</v>
      </c>
      <c r="C49" s="24" t="s">
        <v>46</v>
      </c>
      <c r="D49" s="16" t="s">
        <v>149</v>
      </c>
      <c r="E49" s="16">
        <v>1</v>
      </c>
      <c r="F49" s="16" t="s">
        <v>95</v>
      </c>
      <c r="G49" s="17" t="s">
        <v>16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s="19" customFormat="1" ht="13.5" customHeight="1" x14ac:dyDescent="0.2">
      <c r="A50" s="38" t="s">
        <v>66</v>
      </c>
      <c r="B50" s="23" t="s">
        <v>150</v>
      </c>
      <c r="C50" s="24" t="s">
        <v>46</v>
      </c>
      <c r="D50" s="16" t="s">
        <v>151</v>
      </c>
      <c r="E50" s="16">
        <v>1</v>
      </c>
      <c r="F50" s="16" t="s">
        <v>95</v>
      </c>
      <c r="G50" s="17" t="s">
        <v>16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s="19" customFormat="1" ht="13.5" customHeight="1" x14ac:dyDescent="0.2">
      <c r="A51" s="38" t="s">
        <v>67</v>
      </c>
      <c r="B51" s="23" t="s">
        <v>96</v>
      </c>
      <c r="C51" s="24" t="s">
        <v>46</v>
      </c>
      <c r="D51" s="16" t="s">
        <v>82</v>
      </c>
      <c r="E51" s="16">
        <v>1</v>
      </c>
      <c r="F51" s="16" t="s">
        <v>94</v>
      </c>
      <c r="G51" s="17" t="s">
        <v>16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s="19" customFormat="1" ht="13.5" customHeight="1" x14ac:dyDescent="0.2">
      <c r="A52" s="39" t="s">
        <v>32</v>
      </c>
      <c r="B52" s="58" t="s">
        <v>74</v>
      </c>
      <c r="C52" s="24" t="s">
        <v>46</v>
      </c>
      <c r="D52" s="16" t="s">
        <v>75</v>
      </c>
      <c r="E52" s="16">
        <v>1</v>
      </c>
      <c r="F52" s="16" t="s">
        <v>76</v>
      </c>
      <c r="G52" s="17" t="s">
        <v>16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s="19" customFormat="1" ht="13.5" customHeight="1" x14ac:dyDescent="0.2">
      <c r="A53" s="39" t="s">
        <v>36</v>
      </c>
      <c r="B53" s="23" t="s">
        <v>97</v>
      </c>
      <c r="C53" s="24" t="s">
        <v>46</v>
      </c>
      <c r="D53" s="16" t="s">
        <v>83</v>
      </c>
      <c r="E53" s="16">
        <v>1</v>
      </c>
      <c r="F53" s="16" t="s">
        <v>94</v>
      </c>
      <c r="G53" s="17" t="s">
        <v>16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s="19" customFormat="1" ht="13.5" customHeight="1" x14ac:dyDescent="0.2">
      <c r="A54" s="39" t="s">
        <v>41</v>
      </c>
      <c r="B54" s="23" t="s">
        <v>98</v>
      </c>
      <c r="C54" s="24" t="s">
        <v>46</v>
      </c>
      <c r="D54" s="16" t="s">
        <v>84</v>
      </c>
      <c r="E54" s="16">
        <v>1</v>
      </c>
      <c r="F54" s="16" t="s">
        <v>94</v>
      </c>
      <c r="G54" s="17" t="s">
        <v>16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s="19" customFormat="1" ht="13.5" customHeight="1" x14ac:dyDescent="0.2">
      <c r="A55" s="39" t="s">
        <v>42</v>
      </c>
      <c r="B55" s="23" t="s">
        <v>99</v>
      </c>
      <c r="C55" s="24" t="s">
        <v>46</v>
      </c>
      <c r="D55" s="16" t="s">
        <v>85</v>
      </c>
      <c r="E55" s="16">
        <v>1</v>
      </c>
      <c r="F55" s="16" t="s">
        <v>94</v>
      </c>
      <c r="G55" s="17" t="s">
        <v>16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s="19" customFormat="1" ht="13.5" customHeight="1" x14ac:dyDescent="0.2">
      <c r="A56" s="39" t="s">
        <v>43</v>
      </c>
      <c r="B56" s="23" t="s">
        <v>152</v>
      </c>
      <c r="C56" s="24" t="s">
        <v>153</v>
      </c>
      <c r="D56" s="16" t="s">
        <v>154</v>
      </c>
      <c r="E56" s="16">
        <v>1</v>
      </c>
      <c r="F56" s="16" t="s">
        <v>155</v>
      </c>
      <c r="G56" s="17" t="s">
        <v>16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s="19" customFormat="1" ht="13.5" customHeight="1" x14ac:dyDescent="0.2">
      <c r="A57" s="38" t="s">
        <v>44</v>
      </c>
      <c r="B57" s="16" t="s">
        <v>156</v>
      </c>
      <c r="C57" s="24" t="s">
        <v>46</v>
      </c>
      <c r="D57" s="16" t="s">
        <v>116</v>
      </c>
      <c r="E57" s="16">
        <v>1</v>
      </c>
      <c r="F57" s="16" t="s">
        <v>95</v>
      </c>
      <c r="G57" s="17" t="s">
        <v>16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s="19" customFormat="1" ht="13.5" customHeight="1" x14ac:dyDescent="0.2">
      <c r="A58" s="41" t="s">
        <v>45</v>
      </c>
      <c r="B58" s="42"/>
      <c r="C58" s="45" t="s">
        <v>46</v>
      </c>
      <c r="D58" s="42" t="s">
        <v>47</v>
      </c>
      <c r="E58" s="44">
        <v>0</v>
      </c>
      <c r="F58" s="42"/>
      <c r="G58" s="43" t="s">
        <v>16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s="6" customFormat="1" ht="25.5" x14ac:dyDescent="0.2">
      <c r="A59" s="61" t="s">
        <v>271</v>
      </c>
      <c r="B59" s="23" t="s">
        <v>184</v>
      </c>
      <c r="C59" s="24" t="s">
        <v>15</v>
      </c>
      <c r="D59" s="16" t="s">
        <v>185</v>
      </c>
      <c r="E59" s="75">
        <v>8</v>
      </c>
      <c r="F59" s="16" t="s">
        <v>239</v>
      </c>
      <c r="G59" s="17" t="s">
        <v>16</v>
      </c>
    </row>
    <row r="60" spans="1:41" s="6" customFormat="1" ht="25.5" x14ac:dyDescent="0.2">
      <c r="A60" s="61" t="s">
        <v>270</v>
      </c>
      <c r="B60" s="23" t="s">
        <v>249</v>
      </c>
      <c r="C60" s="24" t="s">
        <v>46</v>
      </c>
      <c r="D60" s="16" t="s">
        <v>185</v>
      </c>
      <c r="E60" s="75">
        <v>7</v>
      </c>
      <c r="F60" s="16" t="s">
        <v>240</v>
      </c>
      <c r="G60" s="17" t="s">
        <v>16</v>
      </c>
    </row>
    <row r="61" spans="1:41" s="6" customFormat="1" x14ac:dyDescent="0.2">
      <c r="A61" s="92" t="s">
        <v>246</v>
      </c>
      <c r="B61" s="63" t="s">
        <v>184</v>
      </c>
      <c r="C61" s="45" t="s">
        <v>15</v>
      </c>
      <c r="D61" s="42"/>
      <c r="E61" s="44">
        <v>0</v>
      </c>
      <c r="F61" s="42" t="s">
        <v>239</v>
      </c>
      <c r="G61" s="43" t="s">
        <v>16</v>
      </c>
    </row>
    <row r="62" spans="1:41" s="19" customFormat="1" ht="13.5" customHeight="1" x14ac:dyDescent="0.2">
      <c r="A62" s="94" t="s">
        <v>110</v>
      </c>
      <c r="B62" s="95"/>
      <c r="C62" s="95"/>
      <c r="D62" s="95"/>
      <c r="E62" s="95"/>
      <c r="F62" s="95"/>
      <c r="G62" s="9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s="6" customFormat="1" ht="13.5" customHeight="1" x14ac:dyDescent="0.2">
      <c r="A63" s="65" t="s">
        <v>206</v>
      </c>
      <c r="B63" s="77" t="s">
        <v>234</v>
      </c>
      <c r="C63" s="82" t="s">
        <v>235</v>
      </c>
      <c r="D63" s="83" t="s">
        <v>14</v>
      </c>
      <c r="E63" s="83">
        <v>1</v>
      </c>
      <c r="F63" s="78" t="s">
        <v>236</v>
      </c>
      <c r="G63" s="84" t="s">
        <v>237</v>
      </c>
    </row>
    <row r="64" spans="1:41" s="6" customFormat="1" ht="13.5" customHeight="1" x14ac:dyDescent="0.2">
      <c r="A64" s="87" t="s">
        <v>244</v>
      </c>
      <c r="B64" s="88" t="s">
        <v>242</v>
      </c>
      <c r="C64" s="89" t="s">
        <v>243</v>
      </c>
      <c r="D64" s="90" t="s">
        <v>14</v>
      </c>
      <c r="E64" s="44">
        <v>0</v>
      </c>
      <c r="F64" s="90" t="s">
        <v>247</v>
      </c>
      <c r="G64" s="91" t="s">
        <v>29</v>
      </c>
    </row>
    <row r="65" spans="1:41" s="6" customFormat="1" ht="13.5" customHeight="1" x14ac:dyDescent="0.2">
      <c r="A65" s="94" t="s">
        <v>55</v>
      </c>
      <c r="B65" s="95"/>
      <c r="C65" s="95"/>
      <c r="D65" s="95"/>
      <c r="E65" s="95"/>
      <c r="F65" s="95"/>
      <c r="G65" s="96"/>
    </row>
    <row r="66" spans="1:41" s="6" customFormat="1" ht="13.5" customHeight="1" x14ac:dyDescent="0.2">
      <c r="A66" s="65" t="s">
        <v>28</v>
      </c>
      <c r="B66" s="16" t="s">
        <v>111</v>
      </c>
      <c r="C66" s="16" t="s">
        <v>118</v>
      </c>
      <c r="D66" s="16" t="s">
        <v>35</v>
      </c>
      <c r="E66" s="16">
        <v>1</v>
      </c>
      <c r="F66" s="16" t="s">
        <v>119</v>
      </c>
      <c r="G66" s="17" t="s">
        <v>33</v>
      </c>
    </row>
    <row r="67" spans="1:41" s="6" customFormat="1" ht="13.5" customHeight="1" x14ac:dyDescent="0.2">
      <c r="A67" s="65" t="s">
        <v>157</v>
      </c>
      <c r="B67" s="56" t="s">
        <v>158</v>
      </c>
      <c r="C67" s="16" t="s">
        <v>159</v>
      </c>
      <c r="D67" s="16" t="s">
        <v>35</v>
      </c>
      <c r="E67" s="16">
        <v>0</v>
      </c>
      <c r="F67" s="16" t="s">
        <v>119</v>
      </c>
      <c r="G67" s="17" t="s">
        <v>160</v>
      </c>
    </row>
    <row r="68" spans="1:41" s="6" customFormat="1" ht="13.5" customHeight="1" x14ac:dyDescent="0.2">
      <c r="A68" s="65" t="s">
        <v>157</v>
      </c>
      <c r="B68" s="16" t="s">
        <v>161</v>
      </c>
      <c r="C68" s="16" t="s">
        <v>162</v>
      </c>
      <c r="D68" s="16" t="s">
        <v>35</v>
      </c>
      <c r="E68" s="16">
        <v>0</v>
      </c>
      <c r="F68" s="16" t="s">
        <v>163</v>
      </c>
      <c r="G68" s="17" t="s">
        <v>33</v>
      </c>
    </row>
    <row r="69" spans="1:41" s="6" customFormat="1" ht="13.5" customHeight="1" x14ac:dyDescent="0.2">
      <c r="A69" s="65" t="s">
        <v>157</v>
      </c>
      <c r="B69" s="16" t="s">
        <v>164</v>
      </c>
      <c r="C69" s="16" t="s">
        <v>165</v>
      </c>
      <c r="D69" s="16" t="s">
        <v>35</v>
      </c>
      <c r="E69" s="16">
        <v>0</v>
      </c>
      <c r="F69" s="16" t="s">
        <v>163</v>
      </c>
      <c r="G69" s="17" t="s">
        <v>160</v>
      </c>
    </row>
    <row r="70" spans="1:41" s="19" customFormat="1" ht="13.5" customHeight="1" x14ac:dyDescent="0.2">
      <c r="A70" s="103" t="s">
        <v>13</v>
      </c>
      <c r="B70" s="104"/>
      <c r="C70" s="95"/>
      <c r="D70" s="95"/>
      <c r="E70" s="95"/>
      <c r="F70" s="95"/>
      <c r="G70" s="9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s="19" customFormat="1" ht="13.5" customHeight="1" x14ac:dyDescent="0.2">
      <c r="A71" s="38" t="s">
        <v>130</v>
      </c>
      <c r="B71" s="18" t="s">
        <v>188</v>
      </c>
      <c r="C71" s="18" t="s">
        <v>127</v>
      </c>
      <c r="D71" s="18" t="s">
        <v>128</v>
      </c>
      <c r="E71" s="48">
        <v>2</v>
      </c>
      <c r="F71" s="18" t="s">
        <v>189</v>
      </c>
      <c r="G71" s="21" t="s">
        <v>129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x14ac:dyDescent="0.2">
      <c r="A72" s="38" t="s">
        <v>207</v>
      </c>
      <c r="B72" s="16" t="s">
        <v>208</v>
      </c>
      <c r="C72" s="16" t="s">
        <v>209</v>
      </c>
      <c r="D72" s="16" t="s">
        <v>210</v>
      </c>
      <c r="E72" s="16">
        <v>1</v>
      </c>
      <c r="F72" s="16" t="s">
        <v>211</v>
      </c>
      <c r="G72" s="17" t="s">
        <v>174</v>
      </c>
    </row>
    <row r="73" spans="1:41" s="19" customFormat="1" ht="13.5" customHeight="1" x14ac:dyDescent="0.2">
      <c r="A73" s="38" t="s">
        <v>284</v>
      </c>
      <c r="B73" s="76" t="s">
        <v>170</v>
      </c>
      <c r="C73" s="16" t="s">
        <v>171</v>
      </c>
      <c r="D73" s="16" t="s">
        <v>172</v>
      </c>
      <c r="E73" s="16">
        <v>2</v>
      </c>
      <c r="F73" s="16" t="s">
        <v>173</v>
      </c>
      <c r="G73" s="17" t="s">
        <v>174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s="19" customFormat="1" ht="13.5" customHeight="1" x14ac:dyDescent="0.2">
      <c r="A74" s="38" t="s">
        <v>285</v>
      </c>
      <c r="B74" s="76" t="s">
        <v>175</v>
      </c>
      <c r="C74" s="16" t="s">
        <v>176</v>
      </c>
      <c r="D74" s="16" t="s">
        <v>177</v>
      </c>
      <c r="E74" s="16">
        <v>1</v>
      </c>
      <c r="F74" s="16" t="s">
        <v>178</v>
      </c>
      <c r="G74" s="17" t="s">
        <v>174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x14ac:dyDescent="0.2">
      <c r="A75" s="38" t="s">
        <v>286</v>
      </c>
      <c r="B75" s="76" t="s">
        <v>179</v>
      </c>
      <c r="C75" s="16" t="s">
        <v>180</v>
      </c>
      <c r="D75" s="16" t="s">
        <v>181</v>
      </c>
      <c r="E75" s="16">
        <v>1</v>
      </c>
      <c r="F75" s="16" t="s">
        <v>182</v>
      </c>
      <c r="G75" s="17" t="s">
        <v>174</v>
      </c>
    </row>
    <row r="76" spans="1:41" x14ac:dyDescent="0.2">
      <c r="A76" s="41" t="s">
        <v>272</v>
      </c>
      <c r="B76" s="93" t="s">
        <v>273</v>
      </c>
      <c r="C76" s="42" t="s">
        <v>274</v>
      </c>
      <c r="D76" s="42" t="s">
        <v>172</v>
      </c>
      <c r="E76" s="44">
        <v>0</v>
      </c>
      <c r="F76" s="42" t="s">
        <v>275</v>
      </c>
      <c r="G76" s="43" t="s">
        <v>174</v>
      </c>
    </row>
    <row r="77" spans="1:41" x14ac:dyDescent="0.2">
      <c r="A77" s="41" t="s">
        <v>276</v>
      </c>
      <c r="B77" s="93" t="s">
        <v>277</v>
      </c>
      <c r="C77" s="42" t="s">
        <v>278</v>
      </c>
      <c r="D77" s="42" t="s">
        <v>177</v>
      </c>
      <c r="E77" s="44">
        <v>0</v>
      </c>
      <c r="F77" s="42" t="s">
        <v>279</v>
      </c>
      <c r="G77" s="43" t="s">
        <v>174</v>
      </c>
    </row>
    <row r="78" spans="1:41" x14ac:dyDescent="0.2">
      <c r="A78" s="41" t="s">
        <v>280</v>
      </c>
      <c r="B78" s="93" t="s">
        <v>281</v>
      </c>
      <c r="C78" s="42" t="s">
        <v>282</v>
      </c>
      <c r="D78" s="42" t="s">
        <v>181</v>
      </c>
      <c r="E78" s="44">
        <v>0</v>
      </c>
      <c r="F78" s="42" t="s">
        <v>283</v>
      </c>
      <c r="G78" s="43" t="s">
        <v>174</v>
      </c>
    </row>
    <row r="79" spans="1:41" x14ac:dyDescent="0.2">
      <c r="A79" s="38" t="s">
        <v>222</v>
      </c>
      <c r="B79" s="23" t="s">
        <v>217</v>
      </c>
      <c r="C79" s="16" t="s">
        <v>218</v>
      </c>
      <c r="D79" s="16" t="s">
        <v>219</v>
      </c>
      <c r="E79" s="16">
        <v>2</v>
      </c>
      <c r="F79" s="16" t="s">
        <v>220</v>
      </c>
      <c r="G79" s="17" t="s">
        <v>221</v>
      </c>
    </row>
    <row r="80" spans="1:41" x14ac:dyDescent="0.2">
      <c r="A80" s="41" t="s">
        <v>223</v>
      </c>
      <c r="B80" s="42" t="s">
        <v>229</v>
      </c>
      <c r="C80" s="42" t="s">
        <v>230</v>
      </c>
      <c r="D80" s="42" t="s">
        <v>172</v>
      </c>
      <c r="E80" s="44">
        <v>0</v>
      </c>
      <c r="F80" s="42" t="s">
        <v>231</v>
      </c>
      <c r="G80" s="43" t="s">
        <v>232</v>
      </c>
    </row>
    <row r="81" spans="1:41" x14ac:dyDescent="0.2">
      <c r="A81" s="41" t="s">
        <v>248</v>
      </c>
      <c r="B81" s="42"/>
      <c r="C81" s="42"/>
      <c r="D81" s="42"/>
      <c r="E81" s="44">
        <v>0</v>
      </c>
      <c r="F81" s="42"/>
      <c r="G81" s="43"/>
    </row>
    <row r="82" spans="1:41" x14ac:dyDescent="0.2">
      <c r="A82" s="38" t="s">
        <v>224</v>
      </c>
      <c r="B82" s="67" t="s">
        <v>225</v>
      </c>
      <c r="C82" s="24" t="s">
        <v>226</v>
      </c>
      <c r="D82" s="16" t="s">
        <v>14</v>
      </c>
      <c r="E82" s="16">
        <v>2</v>
      </c>
      <c r="F82" s="16" t="s">
        <v>227</v>
      </c>
      <c r="G82" s="17" t="s">
        <v>228</v>
      </c>
    </row>
    <row r="83" spans="1:41" s="19" customFormat="1" x14ac:dyDescent="0.2">
      <c r="A83" s="94" t="s">
        <v>287</v>
      </c>
      <c r="B83" s="95"/>
      <c r="C83" s="95"/>
      <c r="D83" s="95"/>
      <c r="E83" s="95"/>
      <c r="F83" s="95"/>
      <c r="G83" s="9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s="19" customFormat="1" x14ac:dyDescent="0.2">
      <c r="A84" s="79" t="s">
        <v>212</v>
      </c>
      <c r="B84" s="40" t="s">
        <v>213</v>
      </c>
      <c r="C84" s="40" t="s">
        <v>214</v>
      </c>
      <c r="D84" s="18" t="s">
        <v>14</v>
      </c>
      <c r="E84" s="18">
        <v>1</v>
      </c>
      <c r="F84" s="80" t="s">
        <v>215</v>
      </c>
      <c r="G84" s="81" t="s">
        <v>216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s="6" customFormat="1" ht="13.5" customHeight="1" thickBot="1" x14ac:dyDescent="0.25">
      <c r="A85" s="68" t="s">
        <v>49</v>
      </c>
      <c r="B85" s="49" t="s">
        <v>14</v>
      </c>
      <c r="C85" s="49" t="s">
        <v>49</v>
      </c>
      <c r="D85" s="50" t="s">
        <v>245</v>
      </c>
      <c r="E85" s="69">
        <v>0</v>
      </c>
      <c r="F85" s="70" t="s">
        <v>186</v>
      </c>
      <c r="G85" s="71" t="s">
        <v>14</v>
      </c>
    </row>
    <row r="87" spans="1:41" x14ac:dyDescent="0.2">
      <c r="A87" s="51" t="s">
        <v>50</v>
      </c>
      <c r="B87" s="52"/>
      <c r="C87" s="53"/>
      <c r="D87" s="52"/>
      <c r="E87" s="54"/>
    </row>
  </sheetData>
  <mergeCells count="8">
    <mergeCell ref="A83:G83"/>
    <mergeCell ref="D2:F3"/>
    <mergeCell ref="A70:G70"/>
    <mergeCell ref="A11:G11"/>
    <mergeCell ref="A23:G23"/>
    <mergeCell ref="A65:G65"/>
    <mergeCell ref="A45:G45"/>
    <mergeCell ref="A62:G62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43" fitToHeight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view="pageBreakPreview" zoomScaleNormal="100" zoomScaleSheetLayoutView="100" workbookViewId="0">
      <selection activeCell="G12" sqref="G12"/>
    </sheetView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8.28515625" customWidth="1"/>
    <col min="7" max="7" width="21.85546875" customWidth="1"/>
    <col min="8" max="8" width="16.7109375" customWidth="1"/>
  </cols>
  <sheetData>
    <row r="1" spans="1:8" ht="13.5" thickBot="1" x14ac:dyDescent="0.25"/>
    <row r="2" spans="1:8" ht="13.5" customHeight="1" thickBot="1" x14ac:dyDescent="0.25">
      <c r="A2" s="112"/>
      <c r="B2" s="113"/>
      <c r="C2" s="114"/>
      <c r="D2" s="121" t="str">
        <f>'LR2021 868-915 Eval Module BOM'!D2</f>
        <v>LR2021 Evaluation Module - 868/915 MHz &amp; 2.4 GHz BOM</v>
      </c>
      <c r="E2" s="122"/>
      <c r="F2" s="123"/>
      <c r="G2" s="124"/>
      <c r="H2" s="11" t="str">
        <f>'LR2021 868-915 Eval Module BOM'!G2</f>
        <v>BOM # V1a</v>
      </c>
    </row>
    <row r="3" spans="1:8" ht="13.5" customHeight="1" thickBot="1" x14ac:dyDescent="0.25">
      <c r="A3" s="115"/>
      <c r="B3" s="116"/>
      <c r="C3" s="117"/>
      <c r="D3" s="125"/>
      <c r="E3" s="126"/>
      <c r="F3" s="127"/>
      <c r="G3" s="128"/>
      <c r="H3" s="11" t="str">
        <f>'LR2021 868-915 Eval Module BOM'!G3</f>
        <v>SCH # e788v01a</v>
      </c>
    </row>
    <row r="4" spans="1:8" ht="14.25" customHeight="1" thickBot="1" x14ac:dyDescent="0.25">
      <c r="A4" s="118"/>
      <c r="B4" s="119"/>
      <c r="C4" s="120"/>
      <c r="D4" s="85" t="str">
        <f>'LR2021 868-915 Eval Module BOM'!D4</f>
        <v>16.03.2026</v>
      </c>
      <c r="E4" s="86" t="str">
        <f>'LR2021 868-915 Eval Module BOM'!E4</f>
        <v xml:space="preserve">EMr </v>
      </c>
      <c r="F4" s="129" t="str">
        <f>'LR2021 868-915 Eval Module BOM'!F4</f>
        <v>Version e788v01a</v>
      </c>
      <c r="G4" s="130"/>
      <c r="H4" s="1" t="str">
        <f>'LR2021 868-915 Eval Module BOM'!G4</f>
        <v>PCB # e788v01a</v>
      </c>
    </row>
    <row r="7" spans="1:8" ht="13.5" thickBot="1" x14ac:dyDescent="0.25"/>
    <row r="8" spans="1:8" ht="18.75" thickBot="1" x14ac:dyDescent="0.3">
      <c r="B8" s="7" t="s">
        <v>52</v>
      </c>
      <c r="C8" s="9"/>
      <c r="D8" s="9"/>
    </row>
    <row r="9" spans="1:8" ht="18" x14ac:dyDescent="0.25">
      <c r="B9" s="3"/>
      <c r="C9" s="9"/>
      <c r="D9" s="9"/>
    </row>
    <row r="10" spans="1:8" x14ac:dyDescent="0.2">
      <c r="B10" s="8" t="s">
        <v>6</v>
      </c>
      <c r="C10" s="131" t="s">
        <v>7</v>
      </c>
      <c r="D10" s="132"/>
      <c r="E10" s="132"/>
      <c r="F10" s="133"/>
      <c r="G10" s="8" t="s">
        <v>8</v>
      </c>
    </row>
    <row r="11" spans="1:8" ht="12.75" customHeight="1" x14ac:dyDescent="0.2">
      <c r="B11" s="5" t="s">
        <v>253</v>
      </c>
      <c r="C11" s="109" t="s">
        <v>254</v>
      </c>
      <c r="D11" s="110"/>
      <c r="E11" s="110"/>
      <c r="F11" s="111"/>
      <c r="G11" s="74" t="s">
        <v>183</v>
      </c>
    </row>
    <row r="12" spans="1:8" ht="12.75" customHeight="1" x14ac:dyDescent="0.2">
      <c r="B12" s="5"/>
      <c r="C12" s="109"/>
      <c r="D12" s="110"/>
      <c r="E12" s="110"/>
      <c r="F12" s="111"/>
      <c r="G12" s="74"/>
    </row>
    <row r="13" spans="1:8" ht="12.75" customHeight="1" x14ac:dyDescent="0.2">
      <c r="B13" s="4"/>
      <c r="C13" s="109"/>
      <c r="D13" s="110"/>
      <c r="E13" s="110"/>
      <c r="F13" s="111"/>
      <c r="G13" s="73"/>
    </row>
    <row r="14" spans="1:8" ht="12.75" customHeight="1" x14ac:dyDescent="0.2">
      <c r="B14" s="5"/>
      <c r="C14" s="109"/>
      <c r="D14" s="134"/>
      <c r="E14" s="134"/>
      <c r="F14" s="135"/>
      <c r="G14" s="55"/>
    </row>
    <row r="15" spans="1:8" ht="13.15" customHeight="1" x14ac:dyDescent="0.2">
      <c r="B15" s="5"/>
      <c r="C15" s="109"/>
      <c r="D15" s="134"/>
      <c r="E15" s="134"/>
      <c r="F15" s="135"/>
      <c r="G15" s="55"/>
    </row>
    <row r="16" spans="1:8" ht="12.75" customHeight="1" x14ac:dyDescent="0.2">
      <c r="B16" s="5"/>
      <c r="C16" s="109"/>
      <c r="D16" s="134"/>
      <c r="E16" s="134"/>
      <c r="F16" s="135"/>
      <c r="G16" s="55"/>
    </row>
    <row r="17" spans="2:7" x14ac:dyDescent="0.2">
      <c r="B17" s="5"/>
      <c r="C17" s="109"/>
      <c r="D17" s="134"/>
      <c r="E17" s="134"/>
      <c r="F17" s="135"/>
      <c r="G17" s="20"/>
    </row>
    <row r="18" spans="2:7" x14ac:dyDescent="0.2">
      <c r="B18" s="5"/>
      <c r="C18" s="109"/>
      <c r="D18" s="134"/>
      <c r="E18" s="134"/>
      <c r="F18" s="135"/>
      <c r="G18" s="20"/>
    </row>
    <row r="19" spans="2:7" x14ac:dyDescent="0.2">
      <c r="C19" s="9"/>
      <c r="E19" s="9"/>
      <c r="F19" s="9"/>
    </row>
    <row r="20" spans="2:7" x14ac:dyDescent="0.2">
      <c r="C20" s="9"/>
      <c r="E20" s="9"/>
      <c r="F20" s="9"/>
    </row>
  </sheetData>
  <mergeCells count="12">
    <mergeCell ref="C16:F16"/>
    <mergeCell ref="C17:F17"/>
    <mergeCell ref="C18:F18"/>
    <mergeCell ref="C15:F15"/>
    <mergeCell ref="C14:F14"/>
    <mergeCell ref="C13:F13"/>
    <mergeCell ref="A2:C4"/>
    <mergeCell ref="D2:G3"/>
    <mergeCell ref="F4:G4"/>
    <mergeCell ref="C10:F10"/>
    <mergeCell ref="C12:F12"/>
    <mergeCell ref="C11:F11"/>
  </mergeCells>
  <phoneticPr fontId="0" type="noConversion"/>
  <pageMargins left="0.55118110236220474" right="0.23622047244094491" top="0.2" bottom="0.48" header="0.2" footer="0.3"/>
  <pageSetup paperSize="9" scale="61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LR2021 868-915 Eval Module BOM</vt:lpstr>
      <vt:lpstr>Release</vt:lpstr>
      <vt:lpstr>'LR2021 868-915 Eval Module BOM'!Print_Area</vt:lpstr>
      <vt:lpstr>Release!Print_Area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2020-02-03T13:01:51Z</cp:lastPrinted>
  <dcterms:created xsi:type="dcterms:W3CDTF">2002-10-08T10:47:58Z</dcterms:created>
  <dcterms:modified xsi:type="dcterms:W3CDTF">2026-03-26T09:24:42Z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  <property fmtid="{D5CDD505-2E9C-101B-9397-08002B2CF9AE}" pid="7" name="MSIP_Label_5da3d8e8-0b98-4ce7-9bba-5e05ce25175d_Enabled">
    <vt:lpwstr>true</vt:lpwstr>
  </property>
  <property fmtid="{D5CDD505-2E9C-101B-9397-08002B2CF9AE}" pid="8" name="MSIP_Label_5da3d8e8-0b98-4ce7-9bba-5e05ce25175d_SetDate">
    <vt:lpwstr>2023-04-21T08:06:34Z</vt:lpwstr>
  </property>
  <property fmtid="{D5CDD505-2E9C-101B-9397-08002B2CF9AE}" pid="9" name="MSIP_Label_5da3d8e8-0b98-4ce7-9bba-5e05ce25175d_Method">
    <vt:lpwstr>Standard</vt:lpwstr>
  </property>
  <property fmtid="{D5CDD505-2E9C-101B-9397-08002B2CF9AE}" pid="10" name="MSIP_Label_5da3d8e8-0b98-4ce7-9bba-5e05ce25175d_Name">
    <vt:lpwstr>5da3d8e8-0b98-4ce7-9bba-5e05ce25175d</vt:lpwstr>
  </property>
  <property fmtid="{D5CDD505-2E9C-101B-9397-08002B2CF9AE}" pid="11" name="MSIP_Label_5da3d8e8-0b98-4ce7-9bba-5e05ce25175d_SiteId">
    <vt:lpwstr>b105310d-dc1a-4d6e-bf0d-b11c10c47b0f</vt:lpwstr>
  </property>
  <property fmtid="{D5CDD505-2E9C-101B-9397-08002B2CF9AE}" pid="12" name="MSIP_Label_5da3d8e8-0b98-4ce7-9bba-5e05ce25175d_ActionId">
    <vt:lpwstr>89c144b7-7e73-4a79-87ac-699fcc824a9f</vt:lpwstr>
  </property>
  <property fmtid="{D5CDD505-2E9C-101B-9397-08002B2CF9AE}" pid="13" name="MSIP_Label_5da3d8e8-0b98-4ce7-9bba-5e05ce25175d_ContentBits">
    <vt:lpwstr>0</vt:lpwstr>
  </property>
</Properties>
</file>